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Clients" sheetId="2" state="visible" r:id="rId2"/>
    <sheet name="Steps" sheetId="3" state="visible" r:id="rId3"/>
    <sheet name="Kinds" sheetId="4" state="visible" r:id="rId4"/>
    <sheet name="Categories" sheetId="5" state="visible" r:id="rId5"/>
    <sheet name="Bill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"/>
    <numFmt numFmtId="166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16213A"/>
      <sz val="16"/>
    </font>
    <font>
      <name val="Arial"/>
      <color rgb="006B7688"/>
      <sz val="10"/>
    </font>
    <font>
      <name val="Arial"/>
      <sz val="11"/>
    </font>
    <font>
      <name val="Arial"/>
      <b val="1"/>
      <color rgb="0016213A"/>
      <sz val="12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213A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Clients" displayName="Clients" ref="A1:E3" headerRowCount="1">
  <autoFilter ref="A1:E3"/>
  <tableColumns count="5">
    <tableColumn id="1" name="Client Number"/>
    <tableColumn id="2" name="Client Name"/>
    <tableColumn id="3" name="Matter / Sheet #"/>
    <tableColumn id="4" name="Hourly Rate"/>
    <tableColumn id="5" name="Location / Address"/>
  </tableColumns>
  <tableStyleInfo name="TableStyleLight9" showRowStripes="1"/>
</table>
</file>

<file path=xl/tables/table2.xml><?xml version="1.0" encoding="utf-8"?>
<table xmlns="http://schemas.openxmlformats.org/spreadsheetml/2006/main" id="2" name="Steps" displayName="Steps" ref="A1:B4" headerRowCount="1">
  <autoFilter ref="A1:B4"/>
  <tableColumns count="2">
    <tableColumn id="1" name="Step Number"/>
    <tableColumn id="2" name="Task Wording"/>
  </tableColumns>
  <tableStyleInfo name="TableStyleLight9" showRowStripes="1"/>
</table>
</file>

<file path=xl/tables/table3.xml><?xml version="1.0" encoding="utf-8"?>
<table xmlns="http://schemas.openxmlformats.org/spreadsheetml/2006/main" id="3" name="Kinds" displayName="Kinds" ref="A1:B4" headerRowCount="1">
  <autoFilter ref="A1:B4"/>
  <tableColumns count="2">
    <tableColumn id="1" name="Kind Code"/>
    <tableColumn id="2" name="Deadline Type"/>
  </tableColumns>
  <tableStyleInfo name="TableStyleLight9" showRowStripes="1"/>
</table>
</file>

<file path=xl/tables/table4.xml><?xml version="1.0" encoding="utf-8"?>
<table xmlns="http://schemas.openxmlformats.org/spreadsheetml/2006/main" id="4" name="Categories" displayName="Categories" ref="A1:B4" headerRowCount="1">
  <autoFilter ref="A1:B4"/>
  <tableColumns count="2">
    <tableColumn id="1" name="Category Code"/>
    <tableColumn id="2" name="Task Category"/>
  </tableColumns>
  <tableStyleInfo name="TableStyleLight9" showRowStripes="1"/>
</table>
</file>

<file path=xl/tables/table5.xml><?xml version="1.0" encoding="utf-8"?>
<table xmlns="http://schemas.openxmlformats.org/spreadsheetml/2006/main" id="5" name="Billing" displayName="Billing" ref="A1:E3" headerRowCount="1">
  <autoFilter ref="A1:E3"/>
  <tableColumns count="5">
    <tableColumn id="1" name="Client Number"/>
    <tableColumn id="2" name="Client Name"/>
    <tableColumn id="3" name="Hourly Rate"/>
    <tableColumn id="4" name="Total Points"/>
    <tableColumn id="5" name="Amount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RESUITE Decoder</t>
        </is>
      </c>
    </row>
    <row r="2">
      <c r="A2" s="2" t="inlineStr">
        <is>
          <t>Firm-only key. Access-restricted. Never exposed to the app.</t>
        </is>
      </c>
    </row>
    <row r="4">
      <c r="A4" s="3" t="inlineStr"/>
    </row>
    <row r="5">
      <c r="A5" s="4" t="inlineStr">
        <is>
          <t>What this is</t>
        </is>
      </c>
    </row>
    <row r="6">
      <c r="A6" s="3" t="inlineStr">
        <is>
          <t>The app and the Hours Log hold NUMBERS ONLY. This workbook holds the human</t>
        </is>
      </c>
    </row>
    <row r="7">
      <c r="A7" s="3" t="inlineStr">
        <is>
          <t>meaning — client names, rates, matters, locations, and what each code means —</t>
        </is>
      </c>
    </row>
    <row r="8">
      <c r="A8" s="3" t="inlineStr">
        <is>
          <t>and is joined to the Hours Log by Client Number / code number.</t>
        </is>
      </c>
    </row>
    <row r="9">
      <c r="A9" s="3" t="inlineStr"/>
    </row>
    <row r="10">
      <c r="A10" s="4" t="inlineStr">
        <is>
          <t>Tabs</t>
        </is>
      </c>
    </row>
    <row r="11">
      <c r="A11" s="3" t="inlineStr">
        <is>
          <t>Clients     — number -&gt; name, matter, hourly rate, location</t>
        </is>
      </c>
    </row>
    <row r="12">
      <c r="A12" s="3" t="inlineStr">
        <is>
          <t>Steps       — daily follow-through step number -&gt; wording</t>
        </is>
      </c>
    </row>
    <row r="13">
      <c r="A13" s="3" t="inlineStr">
        <is>
          <t>Kinds       — deadline kind code -&gt; type</t>
        </is>
      </c>
    </row>
    <row r="14">
      <c r="A14" s="3" t="inlineStr">
        <is>
          <t>Categories  — task category code -&gt; label</t>
        </is>
      </c>
    </row>
    <row r="15">
      <c r="A15" s="3" t="inlineStr">
        <is>
          <t>Billing     — example: Total Points x Hourly Rate, by client</t>
        </is>
      </c>
    </row>
    <row r="16">
      <c r="A16" s="3" t="inlineStr"/>
    </row>
    <row r="17">
      <c r="A17" s="2" t="inlineStr">
        <is>
          <t>Keep this file restricted to firm staff who are allowed to see client identity.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6" customWidth="1" min="3" max="3"/>
    <col width="12" customWidth="1" min="4" max="4"/>
    <col width="30" customWidth="1" min="5" max="5"/>
  </cols>
  <sheetData>
    <row r="1">
      <c r="A1" s="5" t="inlineStr">
        <is>
          <t>Client Number</t>
        </is>
      </c>
      <c r="B1" s="5" t="inlineStr">
        <is>
          <t>Client Name</t>
        </is>
      </c>
      <c r="C1" s="5" t="inlineStr">
        <is>
          <t>Matter / Sheet #</t>
        </is>
      </c>
      <c r="D1" s="5" t="inlineStr">
        <is>
          <t>Hourly Rate</t>
        </is>
      </c>
      <c r="E1" s="5" t="inlineStr">
        <is>
          <t>Location / Address</t>
        </is>
      </c>
    </row>
    <row r="2">
      <c r="A2" s="6" t="inlineStr">
        <is>
          <t>428193</t>
        </is>
      </c>
      <c r="B2" s="6" t="inlineStr">
        <is>
          <t>Northwind Estates LLC</t>
        </is>
      </c>
      <c r="C2" s="6" t="inlineStr">
        <is>
          <t>M-4412</t>
        </is>
      </c>
      <c r="D2" s="7" t="n">
        <v>350</v>
      </c>
      <c r="E2" s="6" t="inlineStr">
        <is>
          <t>200 King St W, Toronto ON</t>
        </is>
      </c>
    </row>
    <row r="3">
      <c r="A3" s="6" t="inlineStr">
        <is>
          <t>519274</t>
        </is>
      </c>
      <c r="B3" s="6" t="inlineStr">
        <is>
          <t>R. Okafor Family Trust</t>
        </is>
      </c>
      <c r="C3" s="6" t="inlineStr">
        <is>
          <t>M-4387</t>
        </is>
      </c>
      <c r="D3" s="7" t="n">
        <v>425</v>
      </c>
      <c r="E3" s="6" t="inlineStr">
        <is>
          <t>1450 Bay St, Toronto 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>
      <c r="A1" s="5" t="inlineStr">
        <is>
          <t>Step Number</t>
        </is>
      </c>
      <c r="B1" s="5" t="inlineStr">
        <is>
          <t>Task Wording</t>
        </is>
      </c>
    </row>
    <row r="2">
      <c r="A2" s="6" t="n">
        <v>1</v>
      </c>
      <c r="B2" s="6" t="inlineStr">
        <is>
          <t>Logged today's hours</t>
        </is>
      </c>
    </row>
    <row r="3">
      <c r="A3" s="6" t="n">
        <v>2</v>
      </c>
      <c r="B3" s="6" t="inlineStr">
        <is>
          <t>Sent what was promised</t>
        </is>
      </c>
    </row>
    <row r="4">
      <c r="A4" s="6" t="n">
        <v>3</v>
      </c>
      <c r="B4" s="6" t="inlineStr">
        <is>
          <t>Booked next meeting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s="5" t="inlineStr">
        <is>
          <t>Kind Code</t>
        </is>
      </c>
      <c r="B1" s="5" t="inlineStr">
        <is>
          <t>Deadline Type</t>
        </is>
      </c>
    </row>
    <row r="2">
      <c r="A2" s="6" t="n">
        <v>1</v>
      </c>
      <c r="B2" s="6" t="inlineStr">
        <is>
          <t>Filing</t>
        </is>
      </c>
    </row>
    <row r="3">
      <c r="A3" s="6" t="n">
        <v>2</v>
      </c>
      <c r="B3" s="6" t="inlineStr">
        <is>
          <t>Response due</t>
        </is>
      </c>
    </row>
    <row r="4">
      <c r="A4" s="6" t="n">
        <v>3</v>
      </c>
      <c r="B4" s="6" t="inlineStr">
        <is>
          <t>Signing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</cols>
  <sheetData>
    <row r="1">
      <c r="A1" s="5" t="inlineStr">
        <is>
          <t>Category Code</t>
        </is>
      </c>
      <c r="B1" s="5" t="inlineStr">
        <is>
          <t>Task Category</t>
        </is>
      </c>
    </row>
    <row r="2">
      <c r="A2" s="6" t="n">
        <v>1</v>
      </c>
      <c r="B2" s="6" t="inlineStr">
        <is>
          <t>Documents</t>
        </is>
      </c>
    </row>
    <row r="3">
      <c r="A3" s="6" t="n">
        <v>2</v>
      </c>
      <c r="B3" s="6" t="inlineStr">
        <is>
          <t>Emails</t>
        </is>
      </c>
    </row>
    <row r="4">
      <c r="A4" s="6" t="n">
        <v>3</v>
      </c>
      <c r="B4" s="6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2" customWidth="1" min="3" max="3"/>
    <col width="13" customWidth="1" min="4" max="4"/>
    <col width="14" customWidth="1" min="5" max="5"/>
  </cols>
  <sheetData>
    <row r="1">
      <c r="A1" s="5" t="inlineStr">
        <is>
          <t>Client Number</t>
        </is>
      </c>
      <c r="B1" s="5" t="inlineStr">
        <is>
          <t>Client Name</t>
        </is>
      </c>
      <c r="C1" s="5" t="inlineStr">
        <is>
          <t>Hourly Rate</t>
        </is>
      </c>
      <c r="D1" s="5" t="inlineStr">
        <is>
          <t>Total Points</t>
        </is>
      </c>
      <c r="E1" s="5" t="inlineStr">
        <is>
          <t>Amount</t>
        </is>
      </c>
    </row>
    <row r="2">
      <c r="A2" s="6" t="inlineStr">
        <is>
          <t>428193</t>
        </is>
      </c>
      <c r="B2" s="6">
        <f>VLOOKUP(A2,Clients!$A:$E,2,FALSE)</f>
        <v/>
      </c>
      <c r="C2" s="7">
        <f>VLOOKUP(A2,Clients!$A:$E,4,FALSE)</f>
        <v/>
      </c>
      <c r="D2" s="8" t="n">
        <v>0.7</v>
      </c>
      <c r="E2" s="9">
        <f>C2*D2</f>
        <v/>
      </c>
    </row>
    <row r="3">
      <c r="A3" s="6" t="inlineStr">
        <is>
          <t>519274</t>
        </is>
      </c>
      <c r="B3" s="6">
        <f>VLOOKUP(A3,Clients!$A:$E,2,FALSE)</f>
        <v/>
      </c>
      <c r="C3" s="7">
        <f>VLOOKUP(A3,Clients!$A:$E,4,FALSE)</f>
        <v/>
      </c>
      <c r="D3" s="8" t="n">
        <v>1.5</v>
      </c>
      <c r="E3" s="9">
        <f>C3*D3</f>
        <v/>
      </c>
    </row>
    <row r="5">
      <c r="A5" s="2" t="inlineStr">
        <is>
          <t>Total Points pasted from the Hours Log Summary tab. Rates from Clients.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2026-06-27T19:32:37Z</dcterms:created>
  <dcterms:modified xsi:type="dcterms:W3CDTF">2026-06-27T19:32:37Z</dcterms:modified>
</cp:coreProperties>
</file>