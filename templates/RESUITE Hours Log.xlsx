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imeLog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16213A"/>
      <sz val="16"/>
    </font>
    <font>
      <name val="Arial"/>
      <color rgb="006B7688"/>
      <sz val="10"/>
    </font>
    <font>
      <name val="Arial"/>
      <sz val="11"/>
    </font>
    <font>
      <name val="Arial"/>
      <b val="1"/>
      <color rgb="0016213A"/>
      <sz val="12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6213A"/>
      </patternFill>
    </fill>
  </fills>
  <borders count="2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1" fontId="3" fillId="0" borderId="1" pivotButton="0" quotePrefix="0" xfId="0"/>
    <xf numFmtId="164" fontId="3" fillId="0" borderId="1" pivotButton="0" quotePrefix="0" xfId="0"/>
    <xf numFmtId="0" fontId="5" fillId="2" borderId="1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F8C9C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imeLog" displayName="TimeLog" ref="A1:H4" headerRowCount="1">
  <autoFilter ref="A1:H4"/>
  <tableColumns count="8">
    <tableColumn id="1" name="Client Number"/>
    <tableColumn id="2" name="Date"/>
    <tableColumn id="3" name="Start"/>
    <tableColumn id="4" name="Stop"/>
    <tableColumn id="5" name="Minutes"/>
    <tableColumn id="6" name="Points"/>
    <tableColumn id="7" name="Logged At"/>
    <tableColumn id="8" name="Points Check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RESUITE Hours Log</t>
        </is>
      </c>
    </row>
    <row r="2">
      <c r="A2" s="2" t="inlineStr">
        <is>
          <t>Blank import template — the live tracker that Copilot reads.</t>
        </is>
      </c>
    </row>
    <row r="4">
      <c r="A4" s="3" t="inlineStr"/>
    </row>
    <row r="5">
      <c r="A5" s="4" t="inlineStr">
        <is>
          <t>How to use (manual bridge, works today)</t>
        </is>
      </c>
    </row>
    <row r="6">
      <c r="A6" s="3" t="inlineStr">
        <is>
          <t>1. In the app, tap  ⬇ Export CSV  to download the day's entries.</t>
        </is>
      </c>
    </row>
    <row r="7">
      <c r="A7" s="3" t="inlineStr">
        <is>
          <t>2. Open the TimeLog sheet here and import/paste the CSV rows below the</t>
        </is>
      </c>
    </row>
    <row r="8">
      <c r="A8" s="3" t="inlineStr">
        <is>
          <t xml:space="preserve">    header (append — never overwrite existing rows).</t>
        </is>
      </c>
    </row>
    <row r="9">
      <c r="A9" s="3" t="inlineStr">
        <is>
          <t>3. Columns line up 1:1 with the CSV: Client Number, Date, Start, Stop,</t>
        </is>
      </c>
    </row>
    <row r="10">
      <c r="A10" s="3" t="inlineStr">
        <is>
          <t xml:space="preserve">    Minutes, Points. Logged At + Points Check fill in automatically.</t>
        </is>
      </c>
    </row>
    <row r="11">
      <c r="A11" s="3" t="inlineStr">
        <is>
          <t>4. Copilot reads this workbook and joins numbers to names via the</t>
        </is>
      </c>
    </row>
    <row r="12">
      <c r="A12" s="3" t="inlineStr">
        <is>
          <t xml:space="preserve">    separate, access-restricted Decoder workbook.</t>
        </is>
      </c>
    </row>
    <row r="13">
      <c r="A13" s="3" t="inlineStr"/>
    </row>
    <row r="14">
      <c r="A14" s="4" t="inlineStr">
        <is>
          <t>When the live connection is built (see brief for Jordan)</t>
        </is>
      </c>
    </row>
    <row r="15">
      <c r="A15" s="3" t="inlineStr">
        <is>
          <t>The app will POST each entry straight into the TimeLog table via Power</t>
        </is>
      </c>
    </row>
    <row r="16">
      <c r="A16" s="3" t="inlineStr">
        <is>
          <t>Automate — no manual export. Same columns, same rules.</t>
        </is>
      </c>
    </row>
    <row r="17">
      <c r="A17" s="3" t="inlineStr"/>
    </row>
    <row r="18">
      <c r="A18" s="4" t="inlineStr">
        <is>
          <t>Billing rule (legal — do not change)</t>
        </is>
      </c>
    </row>
    <row r="19">
      <c r="A19" s="3" t="inlineStr">
        <is>
          <t>Every started 6-minute unit = 0.1 hr, always rounded UP.</t>
        </is>
      </c>
    </row>
    <row r="20">
      <c r="A20" s="3" t="inlineStr">
        <is>
          <t>Points Check = ROUNDUP(Minutes/6,0)/10 must equal Points on every row.</t>
        </is>
      </c>
    </row>
    <row r="21">
      <c r="A21" s="3" t="inlineStr">
        <is>
          <t>If a row turns red on the TimeLog sheet, the Points value is wrong.</t>
        </is>
      </c>
    </row>
    <row r="22">
      <c r="A22" s="3" t="inlineStr"/>
    </row>
    <row r="23">
      <c r="A23" s="4" t="inlineStr">
        <is>
          <t>Privacy</t>
        </is>
      </c>
    </row>
    <row r="24">
      <c r="A24" s="3" t="inlineStr">
        <is>
          <t>This workbook holds NUMBERS ONLY — client numbers, dates, times,</t>
        </is>
      </c>
    </row>
    <row r="25">
      <c r="A25" s="3" t="inlineStr">
        <is>
          <t>minutes, points. Never put client names or notes here. Names, rates and</t>
        </is>
      </c>
    </row>
    <row r="26">
      <c r="A26" s="3" t="inlineStr">
        <is>
          <t>matters live only in the separate Decoder workbook, joined by number.</t>
        </is>
      </c>
    </row>
    <row r="27">
      <c r="A27" s="3" t="inlineStr"/>
    </row>
    <row r="28">
      <c r="A28" s="2" t="inlineStr">
        <is>
          <t>NOTE: rows 2–4 on TimeLog are examples showing the rounding.</t>
        </is>
      </c>
    </row>
    <row r="29">
      <c r="A29" s="2" t="inlineStr">
        <is>
          <t>Delete them before your first real import, or import below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9" customWidth="1" min="3" max="3"/>
    <col width="9" customWidth="1" min="4" max="4"/>
    <col width="10" customWidth="1" min="5" max="5"/>
    <col width="9" customWidth="1" min="6" max="6"/>
    <col width="18" customWidth="1" min="7" max="7"/>
    <col width="13" customWidth="1" min="8" max="8"/>
  </cols>
  <sheetData>
    <row r="1">
      <c r="A1" s="5" t="inlineStr">
        <is>
          <t>Client Number</t>
        </is>
      </c>
      <c r="B1" s="5" t="inlineStr">
        <is>
          <t>Date</t>
        </is>
      </c>
      <c r="C1" s="5" t="inlineStr">
        <is>
          <t>Start</t>
        </is>
      </c>
      <c r="D1" s="5" t="inlineStr">
        <is>
          <t>Stop</t>
        </is>
      </c>
      <c r="E1" s="5" t="inlineStr">
        <is>
          <t>Minutes</t>
        </is>
      </c>
      <c r="F1" s="5" t="inlineStr">
        <is>
          <t>Points</t>
        </is>
      </c>
      <c r="G1" s="5" t="inlineStr">
        <is>
          <t>Logged At</t>
        </is>
      </c>
      <c r="H1" s="5" t="inlineStr">
        <is>
          <t>Points Check</t>
        </is>
      </c>
    </row>
    <row r="2">
      <c r="A2" s="6" t="inlineStr">
        <is>
          <t>428193</t>
        </is>
      </c>
      <c r="B2" s="6" t="inlineStr">
        <is>
          <t>2026-06-27</t>
        </is>
      </c>
      <c r="C2" s="6" t="inlineStr">
        <is>
          <t>14:15</t>
        </is>
      </c>
      <c r="D2" s="6" t="inlineStr">
        <is>
          <t>14:48</t>
        </is>
      </c>
      <c r="E2" s="7" t="n">
        <v>33</v>
      </c>
      <c r="F2" s="8" t="n">
        <v>0.6</v>
      </c>
      <c r="G2" s="6" t="inlineStr">
        <is>
          <t>2026-06-27 14:48</t>
        </is>
      </c>
      <c r="H2" s="8">
        <f>ROUNDUP(E2/6,0)/10</f>
        <v/>
      </c>
    </row>
    <row r="3">
      <c r="A3" s="6" t="inlineStr">
        <is>
          <t>428193</t>
        </is>
      </c>
      <c r="B3" s="6" t="inlineStr">
        <is>
          <t>2026-06-27</t>
        </is>
      </c>
      <c r="C3" s="6" t="inlineStr">
        <is>
          <t>09:00</t>
        </is>
      </c>
      <c r="D3" s="6" t="inlineStr">
        <is>
          <t>09:05</t>
        </is>
      </c>
      <c r="E3" s="7" t="n">
        <v>5</v>
      </c>
      <c r="F3" s="8" t="n">
        <v>0.1</v>
      </c>
      <c r="G3" s="6" t="inlineStr">
        <is>
          <t>2026-06-27 09:05</t>
        </is>
      </c>
      <c r="H3" s="8">
        <f>ROUNDUP(E3/6,0)/10</f>
        <v/>
      </c>
    </row>
    <row r="4">
      <c r="A4" s="6" t="inlineStr">
        <is>
          <t>519274</t>
        </is>
      </c>
      <c r="B4" s="6" t="inlineStr">
        <is>
          <t>2026-06-26</t>
        </is>
      </c>
      <c r="C4" s="6" t="inlineStr"/>
      <c r="D4" s="6" t="inlineStr"/>
      <c r="E4" s="7" t="n">
        <v>90</v>
      </c>
      <c r="F4" s="8" t="n">
        <v>1.5</v>
      </c>
      <c r="G4" s="6" t="inlineStr">
        <is>
          <t>2026-06-26 17:30</t>
        </is>
      </c>
      <c r="H4" s="8">
        <f>ROUNDUP(E4/6,0)/10</f>
        <v/>
      </c>
    </row>
  </sheetData>
  <conditionalFormatting sqref="H2:H1000">
    <cfRule type="expression" priority="1" dxfId="0">
      <formula>AND($E2&lt;&gt;"",$H2&lt;&gt;$F2)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2" customWidth="1" min="4" max="4"/>
  </cols>
  <sheetData>
    <row r="1">
      <c r="A1" s="4" t="inlineStr">
        <is>
          <t>Summary — per client number</t>
        </is>
      </c>
    </row>
    <row r="3">
      <c r="A3" s="9" t="inlineStr">
        <is>
          <t>Client Number</t>
        </is>
      </c>
      <c r="B3" s="9" t="inlineStr">
        <is>
          <t>Total Points</t>
        </is>
      </c>
      <c r="C3" s="9" t="inlineStr">
        <is>
          <t>Total Minutes</t>
        </is>
      </c>
      <c r="D3" s="9" t="inlineStr">
        <is>
          <t>Entry Count</t>
        </is>
      </c>
    </row>
    <row r="4">
      <c r="A4" s="6" t="inlineStr">
        <is>
          <t>428193</t>
        </is>
      </c>
      <c r="B4" s="8">
        <f>SUMIF(TimeLog!$A$2:$A$1000,A4,TimeLog!$F$2:$F$1000)</f>
        <v/>
      </c>
      <c r="C4" s="7">
        <f>SUMIF(TimeLog!$A$2:$A$1000,A4,TimeLog!$E$2:$E$1000)</f>
        <v/>
      </c>
      <c r="D4" s="6">
        <f>COUNTIF(TimeLog!$A$2:$A$1000,A4)</f>
        <v/>
      </c>
    </row>
    <row r="5">
      <c r="A5" s="6" t="inlineStr">
        <is>
          <t>519274</t>
        </is>
      </c>
      <c r="B5" s="8">
        <f>SUMIF(TimeLog!$A$2:$A$1000,A5,TimeLog!$F$2:$F$1000)</f>
        <v/>
      </c>
      <c r="C5" s="7">
        <f>SUMIF(TimeLog!$A$2:$A$1000,A5,TimeLog!$E$2:$E$1000)</f>
        <v/>
      </c>
      <c r="D5" s="6">
        <f>COUNTIF(TimeLog!$A$2:$A$1000,A5)</f>
        <v/>
      </c>
    </row>
    <row r="8">
      <c r="A8" s="2" t="inlineStr">
        <is>
          <t>Rates and dollar amounts live in the Decoder workbook, not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2026-06-27T19:25:14Z</dcterms:created>
  <dcterms:modified xsi:type="dcterms:W3CDTF">2026-06-27T19:25:14Z</dcterms:modified>
</cp:coreProperties>
</file>